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ickets" sheetId="2" state="visible" r:id="rId2"/>
    <sheet name="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tiket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'SLA'!$A$5:$A$6</f>
            </numRef>
          </cat>
          <val>
            <numRef>
              <f>'SLA'!$B$5:$B$6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Shiftbase Support Tickets</t>
        </is>
      </c>
    </row>
    <row r="3">
      <c r="A3" t="inlineStr">
        <is>
          <t>10 tiket simulasi + 2 insiden nyata (T-001, T-002)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12" customWidth="1" min="5" max="5"/>
    <col width="12" customWidth="1" min="6" max="6"/>
    <col width="45" customWidth="1" min="7" max="7"/>
    <col width="35" customWidth="1" min="8" max="8"/>
    <col width="40" customWidth="1" min="9" max="9"/>
    <col width="40" customWidth="1" min="10" max="10"/>
  </cols>
  <sheetData>
    <row r="1">
      <c r="A1" s="2" t="inlineStr">
        <is>
          <t>ID</t>
        </is>
      </c>
      <c r="B1" s="2" t="inlineStr">
        <is>
          <t>Judul</t>
        </is>
      </c>
      <c r="C1" s="2" t="inlineStr">
        <is>
          <t>Severity</t>
        </is>
      </c>
      <c r="D1" s="2" t="inlineStr">
        <is>
          <t>Status</t>
        </is>
      </c>
      <c r="E1" s="2" t="inlineStr">
        <is>
          <t>Opened</t>
        </is>
      </c>
      <c r="F1" s="2" t="inlineStr">
        <is>
          <t>Closed</t>
        </is>
      </c>
      <c r="G1" s="2" t="inlineStr">
        <is>
          <t>Timeline</t>
        </is>
      </c>
      <c r="H1" s="2" t="inlineStr">
        <is>
          <t>Diagnosis</t>
        </is>
      </c>
      <c r="I1" s="2" t="inlineStr">
        <is>
          <t>Resolusi</t>
        </is>
      </c>
      <c r="J1" s="2" t="inlineStr">
        <is>
          <t>Pencegahan</t>
        </is>
      </c>
    </row>
    <row r="2">
      <c r="A2" s="3" t="inlineStr">
        <is>
          <t>T-001</t>
        </is>
      </c>
      <c r="B2" s="3" t="inlineStr">
        <is>
          <t>Bind 8080 bentrok dengan API live lain</t>
        </is>
      </c>
      <c r="C2" s="3" t="inlineStr">
        <is>
          <t>Medium</t>
        </is>
      </c>
      <c r="D2" s="3" t="inlineStr">
        <is>
          <t>Closed</t>
        </is>
      </c>
      <c r="E2" s="3" t="inlineStr">
        <is>
          <t>2026-09-15</t>
        </is>
      </c>
      <c r="F2" s="3" t="inlineStr">
        <is>
          <t>2026-09-15</t>
        </is>
      </c>
      <c r="G2" s="3" t="inlineStr">
        <is>
          <t>1. compose up gagal bind 0.0.0.0:8080
2. ss: dipakai live lifeos
3. Override port via !override (merge tak cukup)
4. Stack Up di 18093/18094/13309</t>
        </is>
      </c>
      <c r="H2" s="3" t="inlineStr">
        <is>
          <t>Port host bentrok (matrix</t>
        </is>
      </c>
      <c r="I2" s="3" t="inlineStr">
        <is>
          <t>Override file dengan !override + port alternatif</t>
        </is>
      </c>
      <c r="J2" s="3" t="inlineStr">
        <is>
          <t>Cek ss sebelum up; !override bukan merge untuk ports</t>
        </is>
      </c>
    </row>
    <row r="3">
      <c r="A3" s="3" t="inlineStr">
        <is>
          <t>T-002</t>
        </is>
      </c>
      <c r="B3" s="3" t="inlineStr">
        <is>
          <t>Backup/restore roundtrip MySQL</t>
        </is>
      </c>
      <c r="C3" s="3" t="inlineStr">
        <is>
          <t>High</t>
        </is>
      </c>
      <c r="D3" s="3" t="inlineStr">
        <is>
          <t>Closed</t>
        </is>
      </c>
      <c r="E3" s="3" t="inlineStr">
        <is>
          <t>2026-09-15</t>
        </is>
      </c>
      <c r="F3" s="3" t="inlineStr">
        <is>
          <t>2026-09-15</t>
        </is>
      </c>
      <c r="G3" s="3" t="inlineStr">
        <is>
          <t>1. mysqldump lokal tak ada (pakai shim docker exec)
2. Env MYSQL_PWD tak terus ke docker exec (2x gagal)
3. Roundtrip: 5 employees + 3 users kembali</t>
        </is>
      </c>
      <c r="H3" s="3" t="inlineStr">
        <is>
          <t>Tooling + env forwarding (matrix backup/restore)</t>
        </is>
      </c>
      <c r="I3" s="3" t="inlineStr">
        <is>
          <t>Shim teruskan -e MYSQL_PWD; skrip lolos roundtrip</t>
        </is>
      </c>
      <c r="J3" s="3" t="inlineStr">
        <is>
          <t>Dokumentasikan kebutuhan mysqldump; catat trik -e</t>
        </is>
      </c>
    </row>
    <row r="4">
      <c r="A4" s="3" t="inlineStr">
        <is>
          <t>T-003</t>
        </is>
      </c>
      <c r="B4" s="3" t="inlineStr">
        <is>
          <t>Seed ganda error 1062</t>
        </is>
      </c>
      <c r="C4" s="3" t="inlineStr">
        <is>
          <t>Low</t>
        </is>
      </c>
      <c r="D4" s="3" t="inlineStr">
        <is>
          <t>Closed</t>
        </is>
      </c>
      <c r="E4" s="3" t="inlineStr">
        <is>
          <t>2026-09-15</t>
        </is>
      </c>
      <c r="F4" s="3" t="inlineStr">
        <is>
          <t>2026-09-15</t>
        </is>
      </c>
      <c r="G4" s="3" t="inlineStr">
        <is>
          <t>1. SOURCE seed.sql 2x
2. Duplicate admin@shiftbase.local
3. COUNT users = 3, skip</t>
        </is>
      </c>
      <c r="H4" s="3" t="inlineStr">
        <is>
          <t>Seed tak idempoten (matrix</t>
        </is>
      </c>
      <c r="I4" s="3" t="inlineStr">
        <is>
          <t>Tak perlu aksi</t>
        </is>
      </c>
      <c r="J4" s="3" t="inlineStr">
        <is>
          <t>Cek COUNT sebelum seed</t>
        </is>
      </c>
    </row>
    <row r="5">
      <c r="A5" s="3" t="inlineStr">
        <is>
          <t>T-004</t>
        </is>
      </c>
      <c r="B5" s="3" t="inlineStr">
        <is>
          <t>Distroless tanpa shell saat debug</t>
        </is>
      </c>
      <c r="C5" s="3" t="inlineStr">
        <is>
          <t>Low</t>
        </is>
      </c>
      <c r="D5" s="3" t="inlineStr">
        <is>
          <t>Closed</t>
        </is>
      </c>
      <c r="E5" s="3" t="inlineStr">
        <is>
          <t>2026-09-15</t>
        </is>
      </c>
      <c r="F5" s="3" t="inlineStr">
        <is>
          <t>2026-09-15</t>
        </is>
      </c>
      <c r="G5" s="3" t="inlineStr">
        <is>
          <t>1. docker exec api sh gagal
2. Alih ke logs + adminer</t>
        </is>
      </c>
      <c r="H5" s="3" t="inlineStr">
        <is>
          <t>Citra distroless by design (matrix</t>
        </is>
      </c>
      <c r="I5" s="3" t="inlineStr">
        <is>
          <t>Prosedur debug tanpa exec</t>
        </is>
      </c>
      <c r="J5" s="3" t="inlineStr">
        <is>
          <t>Tulis di runbook</t>
        </is>
      </c>
    </row>
    <row r="6">
      <c r="A6" s="3" t="inlineStr">
        <is>
          <t>T-005</t>
        </is>
      </c>
      <c r="B6" s="3" t="inlineStr">
        <is>
          <t>Check-in ganda 409 membingungkan user</t>
        </is>
      </c>
      <c r="C6" s="3" t="inlineStr">
        <is>
          <t>Low</t>
        </is>
      </c>
      <c r="D6" s="3" t="inlineStr">
        <is>
          <t>Open</t>
        </is>
      </c>
      <c r="E6" s="3" t="inlineStr">
        <is>
          <t>2026-09-15</t>
        </is>
      </c>
      <c r="F6" s="3" t="inlineStr"/>
      <c r="G6" s="3" t="inlineStr">
        <is>
          <t>1. User klik 2x
2. attendance_duplicate
3. UI sudah terjemahkan ke kalimat</t>
        </is>
      </c>
      <c r="H6" s="3" t="inlineStr">
        <is>
          <t>Double-submit (matrix</t>
        </is>
      </c>
      <c r="I6" s="3" t="inlineStr"/>
      <c r="J6" s="3" t="inlineStr">
        <is>
          <t>Disable tombol saat request (usulan ke web)</t>
        </is>
      </c>
    </row>
    <row r="7">
      <c r="A7" s="3" t="inlineStr">
        <is>
          <t>T-006</t>
        </is>
      </c>
      <c r="B7" s="3" t="inlineStr">
        <is>
          <t>401 massal setelah rotasi secret</t>
        </is>
      </c>
      <c r="C7" s="3" t="inlineStr">
        <is>
          <t>Medium</t>
        </is>
      </c>
      <c r="D7" s="3" t="inlineStr">
        <is>
          <t>Closed</t>
        </is>
      </c>
      <c r="E7" s="3" t="inlineStr">
        <is>
          <t>2026-09-14</t>
        </is>
      </c>
      <c r="F7" s="3" t="inlineStr">
        <is>
          <t>2026-09-14</t>
        </is>
      </c>
      <c r="G7" s="3" t="inlineStr">
        <is>
          <t>1. JWT_SECRET baru di-compose
2. Semua token hangus
3. Login ulang massal</t>
        </is>
      </c>
      <c r="H7" s="3" t="inlineStr">
        <is>
          <t>By design (matrix</t>
        </is>
      </c>
      <c r="I7" s="3" t="inlineStr">
        <is>
          <t>Komunikasi + login ulang</t>
        </is>
      </c>
      <c r="J7" s="3" t="inlineStr">
        <is>
          <t>Umumkan rotasi sebelum deploy</t>
        </is>
      </c>
    </row>
    <row r="8">
      <c r="A8" s="3" t="inlineStr">
        <is>
          <t>T-007</t>
        </is>
      </c>
      <c r="B8" s="3" t="inlineStr">
        <is>
          <t>Import CSV header salah</t>
        </is>
      </c>
      <c r="C8" s="3" t="inlineStr">
        <is>
          <t>Low</t>
        </is>
      </c>
      <c r="D8" s="3" t="inlineStr">
        <is>
          <t>Closed</t>
        </is>
      </c>
      <c r="E8" s="3" t="inlineStr">
        <is>
          <t>2026-09-13</t>
        </is>
      </c>
      <c r="F8" s="3" t="inlineStr">
        <is>
          <t>2026-09-13</t>
        </is>
      </c>
      <c r="G8" s="3" t="inlineStr">
        <is>
          <t>1. User pakai header kapital
2. 400 + pesan header harus
3. Perbaiki header, sukses</t>
        </is>
      </c>
      <c r="H8" s="3" t="inlineStr">
        <is>
          <t>Validasi ketat by design (matrix</t>
        </is>
      </c>
      <c r="I8" s="3" t="inlineStr">
        <is>
          <t>Template CSV di FAQ</t>
        </is>
      </c>
      <c r="J8" s="3" t="inlineStr">
        <is>
          <t>Sediakan file contoh</t>
        </is>
      </c>
    </row>
    <row r="9">
      <c r="A9" s="3" t="inlineStr">
        <is>
          <t>T-008</t>
        </is>
      </c>
      <c r="B9" s="3" t="inlineStr">
        <is>
          <t>Overtime 0 untuk shift 8 jam pas</t>
        </is>
      </c>
      <c r="C9" s="3" t="inlineStr">
        <is>
          <t>Low</t>
        </is>
      </c>
      <c r="D9" s="3" t="inlineStr">
        <is>
          <t>Closed</t>
        </is>
      </c>
      <c r="E9" s="3" t="inlineStr">
        <is>
          <t>2026-09-12</t>
        </is>
      </c>
      <c r="F9" s="3" t="inlineStr">
        <is>
          <t>2026-09-12</t>
        </is>
      </c>
      <c r="G9" s="3" t="inlineStr">
        <is>
          <t>1. Lapor: lembur tak muncul
2. Cek: durasi tepat 8 jam
3. Rumus GREATEST(jam-8,0) = 0 benar</t>
        </is>
      </c>
      <c r="H9" s="3" t="inlineStr">
        <is>
          <t>Ekspektasi vs rumus (matrix</t>
        </is>
      </c>
      <c r="I9" s="3" t="inlineStr">
        <is>
          <t>Edukasi definisi &gt;8 jam</t>
        </is>
      </c>
      <c r="J9" s="3" t="inlineStr">
        <is>
          <t>Tulis rumus di FAQ</t>
        </is>
      </c>
    </row>
    <row r="10">
      <c r="A10" s="3" t="inlineStr">
        <is>
          <t>T-009</t>
        </is>
      </c>
      <c r="B10" s="3" t="inlineStr">
        <is>
          <t>MySQL container tak healthy</t>
        </is>
      </c>
      <c r="C10" s="3" t="inlineStr">
        <is>
          <t>Medium</t>
        </is>
      </c>
      <c r="D10" s="3" t="inlineStr">
        <is>
          <t>Closed</t>
        </is>
      </c>
      <c r="E10" s="3" t="inlineStr">
        <is>
          <t>2026-09-11</t>
        </is>
      </c>
      <c r="F10" s="3" t="inlineStr">
        <is>
          <t>2026-09-11</t>
        </is>
      </c>
      <c r="G10" s="3" t="inlineStr">
        <is>
          <t>1. api restart loop
2. mysql starting (init 20 dtk)
3. depends_on healthy menahan api</t>
        </is>
      </c>
      <c r="H10" s="3" t="inlineStr">
        <is>
          <t>Start order (matrix</t>
        </is>
      </c>
      <c r="I10" s="3" t="inlineStr">
        <is>
          <t>Tunggu healthy; healthcheck sudah benar</t>
        </is>
      </c>
      <c r="J10" s="3" t="inlineStr">
        <is>
          <t>Jangan bypass depends_on</t>
        </is>
      </c>
    </row>
    <row r="11">
      <c r="A11" s="3" t="inlineStr">
        <is>
          <t>T-010</t>
        </is>
      </c>
      <c r="B11" s="3" t="inlineStr">
        <is>
          <t>Data hilang setelah compose down -v</t>
        </is>
      </c>
      <c r="C11" s="3" t="inlineStr">
        <is>
          <t>High</t>
        </is>
      </c>
      <c r="D11" s="3" t="inlineStr">
        <is>
          <t>Closed</t>
        </is>
      </c>
      <c r="E11" s="3" t="inlineStr">
        <is>
          <t>2026-09-10</t>
        </is>
      </c>
      <c r="F11" s="3" t="inlineStr">
        <is>
          <t>2026-09-10</t>
        </is>
      </c>
      <c r="G11" s="3" t="inlineStr">
        <is>
          <t>1. down -v hapus volume
2. Restore dari backup harian
3. Data kembali</t>
        </is>
      </c>
      <c r="H11" s="3" t="inlineStr">
        <is>
          <t>Flag -v destruktif (matrix</t>
        </is>
      </c>
      <c r="I11" s="3" t="inlineStr">
        <is>
          <t>Restore + edukasi down vs down -v</t>
        </is>
      </c>
      <c r="J11" s="3" t="inlineStr">
        <is>
          <t>Backup sebelum down -v; alias aman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4" t="inlineStr">
        <is>
          <t>SLA compliance (COUNTIF hidup)</t>
        </is>
      </c>
    </row>
    <row r="3">
      <c r="A3" t="inlineStr">
        <is>
          <t>Metrik</t>
        </is>
      </c>
      <c r="B3" t="inlineStr">
        <is>
          <t>Nilai</t>
        </is>
      </c>
    </row>
    <row r="4">
      <c r="A4" t="inlineStr">
        <is>
          <t>Total tiket</t>
        </is>
      </c>
      <c r="B4" t="n">
        <v>10</v>
      </c>
    </row>
    <row r="5">
      <c r="A5" t="inlineStr">
        <is>
          <t>Closed</t>
        </is>
      </c>
      <c r="B5">
        <f>COUNTIF(Tickets!D2:D11,"Closed")</f>
        <v/>
      </c>
    </row>
    <row r="6">
      <c r="A6" t="inlineStr">
        <is>
          <t>Open</t>
        </is>
      </c>
      <c r="B6">
        <f>COUNTIF(Tickets!D2:D11,"Open")</f>
        <v/>
      </c>
    </row>
    <row r="7">
      <c r="A7" t="inlineStr">
        <is>
          <t>High severity</t>
        </is>
      </c>
      <c r="B7">
        <f>COUNTIF(Tickets!C2:C11,"High")</f>
        <v/>
      </c>
    </row>
    <row r="8">
      <c r="A8" t="inlineStr">
        <is>
          <t>Closed rate</t>
        </is>
      </c>
      <c r="B8" s="5">
        <f>IF(B4&gt;0,B5/B4,0)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2026-09-14T18:13:26Z</dcterms:created>
  <dcterms:modified xsi:type="dcterms:W3CDTF">2026-09-14T18:13:26Z</dcterms:modified>
</cp:coreProperties>
</file>